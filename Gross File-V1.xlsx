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si\Desktop\"/>
    </mc:Choice>
  </mc:AlternateContent>
  <xr:revisionPtr revIDLastSave="0" documentId="13_ncr:1_{48423459-4E37-4351-8F38-B044E20E8857}" xr6:coauthVersionLast="47" xr6:coauthVersionMax="47" xr10:uidLastSave="{00000000-0000-0000-0000-000000000000}"/>
  <bookViews>
    <workbookView xWindow="-108" yWindow="-108" windowWidth="23256" windowHeight="13176" xr2:uid="{5C0F6480-40F9-48C8-8C5B-950D08955858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/>
  <c r="G2" i="4" s="1"/>
  <c r="E2" i="4" l="1"/>
  <c r="D2" i="4"/>
  <c r="C2" i="4"/>
  <c r="H2" i="4" l="1"/>
</calcChain>
</file>

<file path=xl/sharedStrings.xml><?xml version="1.0" encoding="utf-8"?>
<sst xmlns="http://schemas.openxmlformats.org/spreadsheetml/2006/main" count="8" uniqueCount="8">
  <si>
    <t>Company Share 
SOC Insurance</t>
  </si>
  <si>
    <t>Employee Share 
SOC Insurance</t>
  </si>
  <si>
    <t>Annual Tax Pools</t>
  </si>
  <si>
    <t>Taxes (Basic)</t>
  </si>
  <si>
    <t>Net Salary</t>
  </si>
  <si>
    <t>Gross Salary</t>
  </si>
  <si>
    <t>Martyrs Fund</t>
  </si>
  <si>
    <t>Contribution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</si>
</sst>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9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3" fontId="2" fillId="0" borderId="0" xfId="1" applyFont="1" applyAlignment="1">
      <alignment horizontal="center"/>
    </xf>
    <xf numFmtId="0" fontId="2" fillId="0" borderId="0" xfId="0" applyFont="1"/>
    <xf numFmtId="43" fontId="3" fillId="0" borderId="1" xfId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1" xfId="1" applyFont="1" applyFill="1" applyBorder="1" applyAlignment="1" applyProtection="1">
      <alignment horizontal="center" vertical="center"/>
      <protection locked="0"/>
    </xf>
    <xf numFmtId="43" fontId="2" fillId="0" borderId="1" xfId="1" applyFont="1" applyFill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 wrapText="1"/>
    </xf>
    <xf numFmtId="43" fontId="2" fillId="0" borderId="0" xfId="0" applyNumberFormat="1" applyFont="1"/>
    <xf numFmtId="9" fontId="2" fillId="0" borderId="0" xfId="2" applyFont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BA11-B687-4AFC-BA50-245B7B6ABD85}">
  <dimension ref="B1:Y7"/>
  <sheetViews>
    <sheetView tabSelected="1" workbookViewId="0">
      <selection activeCell="I1" sqref="I1"/>
    </sheetView>
  </sheetViews>
  <sheetFormatPr defaultColWidth="9.21875" defaultRowHeight="13.8" x14ac:dyDescent="0.25"/>
  <cols>
    <col min="1" max="1" width="0.5546875" style="2" customWidth="1"/>
    <col min="2" max="2" width="17" style="1" bestFit="1" customWidth="1"/>
    <col min="3" max="4" width="18.6640625" style="1" bestFit="1" customWidth="1"/>
    <col min="5" max="5" width="15.5546875" style="1" bestFit="1" customWidth="1"/>
    <col min="6" max="6" width="20.77734375" style="1" bestFit="1" customWidth="1"/>
    <col min="7" max="7" width="18.21875" style="1" bestFit="1" customWidth="1"/>
    <col min="8" max="8" width="14.21875" style="1" bestFit="1" customWidth="1"/>
    <col min="9" max="9" width="11" style="1" bestFit="1" customWidth="1"/>
    <col min="10" max="10" width="10" style="2" bestFit="1" customWidth="1"/>
    <col min="11" max="11" width="9.21875" style="2"/>
    <col min="12" max="12" width="10.77734375" style="2" bestFit="1" customWidth="1"/>
    <col min="13" max="13" width="11" style="2" bestFit="1" customWidth="1"/>
    <col min="14" max="15" width="11.21875" style="2" bestFit="1" customWidth="1"/>
    <col min="16" max="17" width="9.77734375" style="2" bestFit="1" customWidth="1"/>
    <col min="18" max="18" width="7.5546875" style="2" bestFit="1" customWidth="1"/>
    <col min="19" max="19" width="7.77734375" style="2" bestFit="1" customWidth="1"/>
    <col min="20" max="21" width="6.5546875" style="2" bestFit="1" customWidth="1"/>
    <col min="22" max="23" width="10.5546875" style="2" bestFit="1" customWidth="1"/>
    <col min="24" max="25" width="10.77734375" style="2" bestFit="1" customWidth="1"/>
    <col min="26" max="16384" width="9.21875" style="2"/>
  </cols>
  <sheetData>
    <row r="1" spans="2:25" s="8" customFormat="1" ht="27.6" x14ac:dyDescent="0.3">
      <c r="B1" s="4" t="s">
        <v>5</v>
      </c>
      <c r="C1" s="5" t="s">
        <v>0</v>
      </c>
      <c r="D1" s="5" t="s">
        <v>1</v>
      </c>
      <c r="E1" s="5" t="s">
        <v>6</v>
      </c>
      <c r="F1" s="6" t="s">
        <v>2</v>
      </c>
      <c r="G1" s="3" t="s">
        <v>3</v>
      </c>
      <c r="H1" s="5" t="s">
        <v>4</v>
      </c>
      <c r="I1" s="7" t="s">
        <v>7</v>
      </c>
    </row>
    <row r="2" spans="2:25" x14ac:dyDescent="0.25">
      <c r="B2" s="9">
        <v>30000</v>
      </c>
      <c r="C2" s="10">
        <f>I2*0.1875</f>
        <v>2718.75</v>
      </c>
      <c r="D2" s="10">
        <f>I2*0.11</f>
        <v>1595</v>
      </c>
      <c r="E2" s="10">
        <f>SUM(B2:B2)*0.0005</f>
        <v>15</v>
      </c>
      <c r="F2" s="11">
        <f>((SUM(B2:B2)-SUM(D2))*12-20000)</f>
        <v>320860</v>
      </c>
      <c r="G2" s="10">
        <f>IF(F2&lt;=0,0,IF(F2&lt;=40000,0,
IF(F2&lt;=55000,(F2-40000)*10%,
IF(F2&lt;=70000,(F2-55000)*15%+1500,
IF(F2&lt;=200000,(F2-70000)*20%+1500+2250,
IF(F2&lt;=400000,(F2-200000)*22.5%+1500+2250+26000,
IF(F2&lt;=600000,(F2-400000)*25%+1500+2250+26000+45000,
IF(F2&lt;=700000,(F2-400000)*25%+5500+2250+26000+45000,
IF(F2&lt;=800000,(F2-400000)*25%+10500+26000+45000,
IF(F2&lt;=900000,(F2-400000)*25%+40000+45000,
IF(F2&lt;=1200000,(F2-400000)*25%+90000,
IF(F2&gt;1200000,(F2-1200000)*27.5%+300000))))))))))))/12</f>
        <v>4745.291666666667</v>
      </c>
      <c r="H2" s="12">
        <f>(SUM(B2:B2)-D2-G2-E2)</f>
        <v>23644.708333333332</v>
      </c>
      <c r="I2" s="15">
        <v>14500</v>
      </c>
      <c r="J2" s="13"/>
      <c r="K2" s="13"/>
      <c r="N2" s="13"/>
      <c r="O2" s="13"/>
      <c r="T2" s="13"/>
      <c r="U2" s="13"/>
      <c r="V2" s="13"/>
      <c r="W2" s="13"/>
      <c r="X2" s="13"/>
      <c r="Y2" s="13"/>
    </row>
    <row r="7" spans="2:25" x14ac:dyDescent="0.25">
      <c r="G7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48a681-5418-4415-a41f-b3ffe06d3d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6499D4188B6E4CB53F3EDD3D13C96E" ma:contentTypeVersion="15" ma:contentTypeDescription="Create a new document." ma:contentTypeScope="" ma:versionID="ec1be27d426bda078228d1c7760a5bb5">
  <xsd:schema xmlns:xsd="http://www.w3.org/2001/XMLSchema" xmlns:xs="http://www.w3.org/2001/XMLSchema" xmlns:p="http://schemas.microsoft.com/office/2006/metadata/properties" xmlns:ns3="b234b727-8ffd-4d04-9d65-8039a2c7f2fd" xmlns:ns4="8048a681-5418-4415-a41f-b3ffe06d3d9a" targetNamespace="http://schemas.microsoft.com/office/2006/metadata/properties" ma:root="true" ma:fieldsID="01853fa9de24f49a16c2397ed9123c32" ns3:_="" ns4:_="">
    <xsd:import namespace="b234b727-8ffd-4d04-9d65-8039a2c7f2fd"/>
    <xsd:import namespace="8048a681-5418-4415-a41f-b3ffe06d3d9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bjectDetectorVersions" minOccurs="0"/>
                <xsd:element ref="ns4:_activity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SearchPropertie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4b727-8ffd-4d04-9d65-8039a2c7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8a681-5418-4415-a41f-b3ffe06d3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44EC1C-35EC-4355-828D-FBBC71736F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5A3AA6-B46B-42B6-90BE-AA3BF8A120F1}">
  <ds:schemaRefs>
    <ds:schemaRef ds:uri="http://schemas.microsoft.com/office/2006/documentManagement/types"/>
    <ds:schemaRef ds:uri="http://www.w3.org/XML/1998/namespace"/>
    <ds:schemaRef ds:uri="8048a681-5418-4415-a41f-b3ffe06d3d9a"/>
    <ds:schemaRef ds:uri="b234b727-8ffd-4d04-9d65-8039a2c7f2fd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0A076D1-818D-44FF-9C6D-859A8D4E71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34b727-8ffd-4d04-9d65-8039a2c7f2fd"/>
    <ds:schemaRef ds:uri="8048a681-5418-4415-a41f-b3ffe06d3d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Hadeer Mansour Selim</dc:creator>
  <cp:keywords/>
  <dc:description/>
  <cp:lastModifiedBy>Andrew Ashraf</cp:lastModifiedBy>
  <cp:revision/>
  <dcterms:created xsi:type="dcterms:W3CDTF">2023-07-27T11:49:02Z</dcterms:created>
  <dcterms:modified xsi:type="dcterms:W3CDTF">2025-11-18T18:41:38Z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0x010100BF6499D4188B6E4CB53F3EDD3D13C96E</vt:lpwstr>
  </property>
</Properties>
</file>